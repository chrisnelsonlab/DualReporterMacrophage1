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eybryan/Desktop/"/>
    </mc:Choice>
  </mc:AlternateContent>
  <xr:revisionPtr revIDLastSave="0" documentId="13_ncr:1_{0E711D5B-A5A0-E042-89D0-B893E4C4E17D}" xr6:coauthVersionLast="47" xr6:coauthVersionMax="47" xr10:uidLastSave="{00000000-0000-0000-0000-000000000000}"/>
  <bookViews>
    <workbookView xWindow="780" yWindow="2220" windowWidth="22960" windowHeight="15780" xr2:uid="{E1C449A8-30A2-4DF9-A44B-703034479C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" l="1"/>
  <c r="N7" i="1"/>
  <c r="N6" i="1"/>
  <c r="J8" i="1"/>
  <c r="J7" i="1"/>
  <c r="J6" i="1"/>
  <c r="F8" i="1"/>
  <c r="F7" i="1"/>
  <c r="F6" i="1"/>
</calcChain>
</file>

<file path=xl/sharedStrings.xml><?xml version="1.0" encoding="utf-8"?>
<sst xmlns="http://schemas.openxmlformats.org/spreadsheetml/2006/main" count="9" uniqueCount="7">
  <si>
    <t>IFN</t>
  </si>
  <si>
    <t>LPS</t>
  </si>
  <si>
    <t>Geo Mean</t>
  </si>
  <si>
    <t>NT</t>
  </si>
  <si>
    <t>RAW</t>
  </si>
  <si>
    <t>AVG</t>
  </si>
  <si>
    <t xml:space="preserve">IFN/LPS Stimulation of mRFP1 Reporter Cells as 24-, 48-, and 72-hours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</si>
</sst>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Continuous"/>
    </xf>
    <xf numFmtId="0" fontId="0" fillId="2" borderId="0" xfId="0" applyFill="1"/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mCherry Geometric Mean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(Sheet1!$C$3,Sheet1!$G$3,Sheet1!$K$3)</c:f>
              <c:numCache>
                <c:formatCode>General</c:formatCode>
                <c:ptCount val="3"/>
                <c:pt idx="0">
                  <c:v>24</c:v>
                </c:pt>
                <c:pt idx="1">
                  <c:v>48</c:v>
                </c:pt>
                <c:pt idx="2">
                  <c:v>72</c:v>
                </c:pt>
              </c:numCache>
            </c:numRef>
          </c:cat>
          <c:val>
            <c:numRef>
              <c:f>(Sheet1!$F$6,Sheet1!$J$6,Sheet1!$N$6)</c:f>
              <c:numCache>
                <c:formatCode>0.0</c:formatCode>
                <c:ptCount val="3"/>
                <c:pt idx="0">
                  <c:v>470</c:v>
                </c:pt>
                <c:pt idx="1">
                  <c:v>393.66666666666669</c:v>
                </c:pt>
                <c:pt idx="2">
                  <c:v>337.33333333333331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11-496E-AC1E-5791BB716E8C}"/>
            </c:ext>
          </c:extLst>
        </c:ser>
        <c:ser>
          <c:idx val="1"/>
          <c:order val="1"/>
          <c:tx>
            <c:v>IFN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(Sheet1!$C$3,Sheet1!$G$3,Sheet1!$K$3)</c:f>
              <c:numCache>
                <c:formatCode>General</c:formatCode>
                <c:ptCount val="3"/>
                <c:pt idx="0">
                  <c:v>24</c:v>
                </c:pt>
                <c:pt idx="1">
                  <c:v>48</c:v>
                </c:pt>
                <c:pt idx="2">
                  <c:v>72</c:v>
                </c:pt>
              </c:numCache>
            </c:numRef>
          </c:cat>
          <c:val>
            <c:numRef>
              <c:f>(Sheet1!$F$7,Sheet1!$J$7,Sheet1!$N$7)</c:f>
              <c:numCache>
                <c:formatCode>0.0</c:formatCode>
                <c:ptCount val="3"/>
                <c:pt idx="0">
                  <c:v>653.66666666666663</c:v>
                </c:pt>
                <c:pt idx="1">
                  <c:v>388.33333333333331</c:v>
                </c:pt>
                <c:pt idx="2">
                  <c:v>347.66666666666669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11-496E-AC1E-5791BB716E8C}"/>
            </c:ext>
          </c:extLst>
        </c:ser>
        <c:ser>
          <c:idx val="2"/>
          <c:order val="2"/>
          <c:tx>
            <c:v>LPS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(Sheet1!$C$3,Sheet1!$G$3,Sheet1!$K$3)</c:f>
              <c:numCache>
                <c:formatCode>General</c:formatCode>
                <c:ptCount val="3"/>
                <c:pt idx="0">
                  <c:v>24</c:v>
                </c:pt>
                <c:pt idx="1">
                  <c:v>48</c:v>
                </c:pt>
                <c:pt idx="2">
                  <c:v>72</c:v>
                </c:pt>
              </c:numCache>
            </c:numRef>
          </c:cat>
          <c:val>
            <c:numRef>
              <c:f>(Sheet1!$F$8,Sheet1!$J$8,Sheet1!$N$8)</c:f>
              <c:numCache>
                <c:formatCode>0.0</c:formatCode>
                <c:ptCount val="3"/>
                <c:pt idx="0">
                  <c:v>821</c:v>
                </c:pt>
                <c:pt idx="1">
                  <c:v>445.33333333333331</c:v>
                </c:pt>
                <c:pt idx="2">
                  <c:v>381.66666666666669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11-496E-AC1E-5791BB716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4743688"/>
        <c:axId val="724744408"/>
      </c:barChart>
      <c:catAx>
        <c:axId val="724743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744408"/>
        <c:crosses val="autoZero"/>
        <c:auto val="1"/>
        <c:lblAlgn val="ctr"/>
        <c:lblOffset val="100"/>
        <c:noMultiLvlLbl val="0"/>
      </c:catAx>
      <c:valAx>
        <c:axId val="724744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743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226219</xdr:colOff>
      <xdr:row>9</xdr:row>
      <xdr:rowOff>84931</xdr:rowOff>
    </xdr:from>
    <xdr:to>
      <xdr:col>15</xdr:col>
      <xdr:colOff>519906</xdr:colOff>
      <xdr:row>24</xdr:row>
      <xdr:rowOff>89694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ADF044-C293-9023-8F3B-A30689CE6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B01BC-238D-4EB7-860C-3A0732160973}">
  <dimension ref="B2:N9"/>
  <sheetViews>
    <sheetView tabSelected="1" zoomScale="108" zoomScaleNormal="80" workbookViewId="0">
      <selection activeCell="J8" sqref="J8"/>
    </sheetView>
  </sheetViews>
  <sheetFormatPr baseColWidth="10" defaultColWidth="8.83203125" defaultRowHeight="15" x14ac:dyDescent="0.2"/>
  <cols>
    <col min="1" max="1" width="1.6640625" customWidth="1"/>
    <col min="2" max="2" width="13.1640625" customWidth="1"/>
  </cols>
  <sheetData>
    <row r="2" spans="2:14" x14ac:dyDescent="0.2">
      <c r="B2" t="s">
        <v>6</v>
      </c>
    </row>
    <row r="3" spans="2:14" x14ac:dyDescent="0.2">
      <c r="C3" s="1">
        <v>24</v>
      </c>
      <c r="D3" s="1"/>
      <c r="E3" s="1"/>
      <c r="G3" s="1">
        <v>48</v>
      </c>
      <c r="H3" s="1"/>
      <c r="I3" s="1"/>
      <c r="K3" s="1">
        <v>72</v>
      </c>
      <c r="L3" s="1"/>
      <c r="M3" s="1"/>
    </row>
    <row r="4" spans="2:14" ht="5" customHeight="1" x14ac:dyDescent="0.2"/>
    <row r="5" spans="2:14" x14ac:dyDescent="0.2">
      <c r="B5" s="2" t="s">
        <v>2</v>
      </c>
      <c r="C5" s="2"/>
      <c r="D5" s="2"/>
      <c r="E5" s="2"/>
      <c r="F5" s="6" t="s">
        <v>5</v>
      </c>
      <c r="G5" s="2"/>
      <c r="H5" s="2"/>
      <c r="I5" s="2"/>
      <c r="J5" s="6" t="s">
        <v>5</v>
      </c>
      <c r="K5" s="2"/>
      <c r="L5" s="2"/>
      <c r="M5" s="2"/>
      <c r="N5" s="6" t="s">
        <v>5</v>
      </c>
    </row>
    <row r="6" spans="2:14" x14ac:dyDescent="0.2">
      <c r="B6" t="s">
        <v>3</v>
      </c>
      <c r="C6">
        <v>464</v>
      </c>
      <c r="D6">
        <v>467</v>
      </c>
      <c r="E6">
        <v>479</v>
      </c>
      <c r="F6" s="3">
        <f>AVERAGE(C6:E6)</f>
        <v>470</v>
      </c>
      <c r="G6">
        <v>391</v>
      </c>
      <c r="H6">
        <v>396</v>
      </c>
      <c r="I6">
        <v>394</v>
      </c>
      <c r="J6" s="3">
        <f>AVERAGE(G6:I6)</f>
        <v>393.66666666666669</v>
      </c>
      <c r="K6">
        <v>337</v>
      </c>
      <c r="L6">
        <v>335</v>
      </c>
      <c r="M6">
        <v>340</v>
      </c>
      <c r="N6" s="3">
        <f>AVERAGE(K6:M6)</f>
        <v>337.33333333333331</v>
      </c>
    </row>
    <row r="7" spans="2:14" x14ac:dyDescent="0.2">
      <c r="B7" t="s">
        <v>0</v>
      </c>
      <c r="C7">
        <v>628</v>
      </c>
      <c r="D7">
        <v>673</v>
      </c>
      <c r="E7">
        <v>660</v>
      </c>
      <c r="F7" s="4">
        <f t="shared" ref="F7:F8" si="0">AVERAGE(C7:E7)</f>
        <v>653.66666666666663</v>
      </c>
      <c r="G7">
        <v>388</v>
      </c>
      <c r="H7">
        <v>383</v>
      </c>
      <c r="I7">
        <v>394</v>
      </c>
      <c r="J7" s="4">
        <f t="shared" ref="J7:J8" si="1">AVERAGE(G7:I7)</f>
        <v>388.33333333333331</v>
      </c>
      <c r="K7">
        <v>358</v>
      </c>
      <c r="L7">
        <v>334</v>
      </c>
      <c r="M7">
        <v>351</v>
      </c>
      <c r="N7" s="4">
        <f t="shared" ref="N7:N8" si="2">AVERAGE(K7:M7)</f>
        <v>347.66666666666669</v>
      </c>
    </row>
    <row r="8" spans="2:14" x14ac:dyDescent="0.2">
      <c r="B8" t="s">
        <v>1</v>
      </c>
      <c r="C8">
        <v>798</v>
      </c>
      <c r="D8">
        <v>833</v>
      </c>
      <c r="E8">
        <v>832</v>
      </c>
      <c r="F8" s="5">
        <f t="shared" si="0"/>
        <v>821</v>
      </c>
      <c r="G8">
        <v>440</v>
      </c>
      <c r="H8">
        <v>438</v>
      </c>
      <c r="I8">
        <v>458</v>
      </c>
      <c r="J8" s="5">
        <f t="shared" si="1"/>
        <v>445.33333333333331</v>
      </c>
      <c r="K8">
        <v>379</v>
      </c>
      <c r="L8">
        <v>376</v>
      </c>
      <c r="M8">
        <v>390</v>
      </c>
      <c r="N8" s="5">
        <f t="shared" si="2"/>
        <v>381.66666666666669</v>
      </c>
    </row>
    <row r="9" spans="2:14" x14ac:dyDescent="0.2">
      <c r="B9" t="s">
        <v>4</v>
      </c>
      <c r="C9">
        <v>75.900000000000006</v>
      </c>
      <c r="G9">
        <v>127</v>
      </c>
      <c r="K9">
        <v>206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Ivy</dc:creator>
  <cp:lastModifiedBy>Abbey Stokes</cp:lastModifiedBy>
  <dcterms:created xsi:type="dcterms:W3CDTF">2023-10-04T21:27:43Z</dcterms:created>
  <dcterms:modified xsi:type="dcterms:W3CDTF">2025-04-14T21:28:20Z</dcterms:modified>
</cp:coreProperties>
</file>