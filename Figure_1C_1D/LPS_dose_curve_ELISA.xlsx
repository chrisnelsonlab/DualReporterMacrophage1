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abbeybryan/Desktop/"/>
    </mc:Choice>
  </mc:AlternateContent>
  <xr:revisionPtr revIDLastSave="0" documentId="13_ncr:1_{8E1A5ECE-A77F-0543-A00A-FFDDB3BF55BA}" xr6:coauthVersionLast="47" xr6:coauthVersionMax="47" xr10:uidLastSave="{00000000-0000-0000-0000-000000000000}"/>
  <bookViews>
    <workbookView xWindow="780" yWindow="500" windowWidth="27460" windowHeight="17120" xr2:uid="{00000000-000D-0000-FFFF-FFFF00000000}"/>
  </bookViews>
  <sheets>
    <sheet name="TNFa conc" sheetId="4" r:id="rId1"/>
  </sheets>
  <definedNames>
    <definedName name="MethodPointer1">-782345424</definedName>
    <definedName name="MethodPointer2">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3" i="4"/>
  <c r="B33" i="4"/>
  <c r="E7" i="4"/>
  <c r="F7" i="4" s="1"/>
  <c r="E6" i="4"/>
  <c r="F6" i="4" s="1"/>
  <c r="G6" i="4" s="1"/>
  <c r="E5" i="4"/>
  <c r="E4" i="4"/>
  <c r="F4" i="4" s="1"/>
  <c r="G4" i="4" s="1"/>
  <c r="E3" i="4"/>
  <c r="F3" i="4" s="1"/>
  <c r="C37" i="4"/>
  <c r="F37" i="4" s="1"/>
  <c r="D37" i="4"/>
  <c r="G37" i="4" s="1"/>
  <c r="B37" i="4"/>
  <c r="E37" i="4" s="1"/>
  <c r="E11" i="4"/>
  <c r="F11" i="4" s="1"/>
  <c r="C36" i="4"/>
  <c r="F36" i="4" s="1"/>
  <c r="I36" i="4" s="1"/>
  <c r="D36" i="4"/>
  <c r="B36" i="4"/>
  <c r="C35" i="4"/>
  <c r="F35" i="4" s="1"/>
  <c r="I35" i="4" s="1"/>
  <c r="D35" i="4"/>
  <c r="G35" i="4" s="1"/>
  <c r="J35" i="4" s="1"/>
  <c r="B35" i="4"/>
  <c r="E35" i="4" s="1"/>
  <c r="E9" i="4"/>
  <c r="F9" i="4" s="1"/>
  <c r="D34" i="4"/>
  <c r="C34" i="4"/>
  <c r="F34" i="4" s="1"/>
  <c r="B34" i="4"/>
  <c r="E34" i="4" s="1"/>
  <c r="C33" i="4"/>
  <c r="D33" i="4"/>
  <c r="G33" i="4" s="1"/>
  <c r="E33" i="4"/>
  <c r="H33" i="4" s="1"/>
  <c r="C32" i="4"/>
  <c r="F32" i="4" s="1"/>
  <c r="I32" i="4" s="1"/>
  <c r="D32" i="4"/>
  <c r="G32" i="4" s="1"/>
  <c r="B32" i="4"/>
  <c r="E32" i="4" s="1"/>
  <c r="H32" i="4" s="1"/>
  <c r="D31" i="4"/>
  <c r="G31" i="4" s="1"/>
  <c r="J31" i="4" s="1"/>
  <c r="C31" i="4"/>
  <c r="B31" i="4"/>
  <c r="E31" i="4" s="1"/>
  <c r="C30" i="4"/>
  <c r="F30" i="4" s="1"/>
  <c r="I30" i="4" s="1"/>
  <c r="D30" i="4"/>
  <c r="G30" i="4" s="1"/>
  <c r="J30" i="4" s="1"/>
  <c r="B30" i="4"/>
  <c r="E30" i="4" s="1"/>
  <c r="H30" i="4" s="1"/>
  <c r="C29" i="4"/>
  <c r="F29" i="4" s="1"/>
  <c r="D29" i="4"/>
  <c r="G29" i="4" s="1"/>
  <c r="B29" i="4"/>
  <c r="E29" i="4" s="1"/>
  <c r="E10" i="4"/>
  <c r="F10" i="4" s="1"/>
  <c r="B9" i="4"/>
  <c r="E8" i="4"/>
  <c r="F8" i="4" s="1"/>
  <c r="B8" i="4"/>
  <c r="B7" i="4"/>
  <c r="B6" i="4"/>
  <c r="B5" i="4"/>
  <c r="B4" i="4"/>
  <c r="K30" i="4" l="1"/>
  <c r="F33" i="4"/>
  <c r="I33" i="4" s="1"/>
  <c r="G11" i="4"/>
  <c r="H35" i="4"/>
  <c r="K35" i="4" s="1"/>
  <c r="F31" i="4"/>
  <c r="I31" i="4" s="1"/>
  <c r="J33" i="4"/>
  <c r="E36" i="4"/>
  <c r="H36" i="4" s="1"/>
  <c r="I34" i="4"/>
  <c r="G36" i="4"/>
  <c r="J36" i="4" s="1"/>
  <c r="H37" i="4"/>
  <c r="G8" i="4"/>
  <c r="F5" i="4"/>
  <c r="G5" i="4" s="1"/>
  <c r="G34" i="4"/>
  <c r="J34" i="4" s="1"/>
  <c r="I29" i="4"/>
  <c r="J37" i="4"/>
  <c r="J29" i="4"/>
  <c r="J32" i="4"/>
  <c r="K32" i="4" s="1"/>
  <c r="I37" i="4"/>
  <c r="H31" i="4"/>
  <c r="H34" i="4"/>
  <c r="H29" i="4"/>
  <c r="G9" i="4"/>
  <c r="G10" i="4"/>
  <c r="G7" i="4"/>
  <c r="G3" i="4"/>
  <c r="K33" i="4" l="1"/>
  <c r="K36" i="4"/>
  <c r="K31" i="4"/>
  <c r="K34" i="4"/>
  <c r="K37" i="4"/>
  <c r="K29" i="4"/>
</calcChain>
</file>

<file path=xl/sharedStrings.xml><?xml version="1.0" encoding="utf-8"?>
<sst xmlns="http://schemas.openxmlformats.org/spreadsheetml/2006/main" count="23" uniqueCount="19">
  <si>
    <t>A</t>
  </si>
  <si>
    <t>B</t>
  </si>
  <si>
    <t>C</t>
  </si>
  <si>
    <t>D</t>
  </si>
  <si>
    <t>E</t>
  </si>
  <si>
    <t>F</t>
  </si>
  <si>
    <t>G</t>
  </si>
  <si>
    <t>H</t>
  </si>
  <si>
    <t>Standard curve</t>
  </si>
  <si>
    <t>Samples</t>
  </si>
  <si>
    <t>Excitation</t>
  </si>
  <si>
    <t>Excitation at 450 nm</t>
  </si>
  <si>
    <t>LPS conc Samples</t>
  </si>
  <si>
    <t>Conc (pg/mL)</t>
  </si>
  <si>
    <t>Corrected Conc (pg/mL)</t>
  </si>
  <si>
    <t>NT/Control</t>
  </si>
  <si>
    <t>Top- Excitation</t>
  </si>
  <si>
    <t>Average</t>
  </si>
  <si>
    <t>LPS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</si>
</sst>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EC25586-2BDD-40ED-96AE-AC21C7450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40315763515721"/>
          <c:y val="5.3002915451895068E-2"/>
          <c:w val="0.83580733034736276"/>
          <c:h val="0.7230710957048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614901560465904"/>
                  <c:y val="0.25020408163265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'TNFa conc'!$A$4:$A$9</c:f>
              <c:numCache>
                <c:formatCode>General</c:formatCode>
                <c:ptCount val="6"/>
                <c:pt idx="0">
                  <c:v>31.3</c:v>
                </c:pt>
                <c:pt idx="1">
                  <c:v>62.2</c:v>
                </c:pt>
                <c:pt idx="2">
                  <c:v>125</c:v>
                </c:pt>
                <c:pt idx="3">
                  <c:v>250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'TNFa conc'!$B$4:$B$9</c:f>
              <c:numCache>
                <c:formatCode>General</c:formatCode>
                <c:ptCount val="6"/>
                <c:pt idx="0">
                  <c:v>0.11899999999999999</c:v>
                </c:pt>
                <c:pt idx="1">
                  <c:v>0.191</c:v>
                </c:pt>
                <c:pt idx="2">
                  <c:v>0.31850000000000001</c:v>
                </c:pt>
                <c:pt idx="3">
                  <c:v>0.57850000000000001</c:v>
                </c:pt>
                <c:pt idx="4">
                  <c:v>1.1604999999999999</c:v>
                </c:pt>
                <c:pt idx="5">
                  <c:v>2.1234999999999999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ED-BE47-BFF7-D8BC3D3D3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116095"/>
        <c:axId val="137219647"/>
      </c:scatterChart>
      <c:valAx>
        <c:axId val="1598116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Concentration (pg/mL)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9647"/>
        <c:crosses val="autoZero"/>
        <c:crossBetween val="midCat"/>
      </c:valAx>
      <c:valAx>
        <c:axId val="137219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Intensity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at 450 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11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307975</xdr:colOff>
      <xdr:row>11</xdr:row>
      <xdr:rowOff>139700</xdr:rowOff>
    </xdr:from>
    <xdr:to>
      <xdr:col>6</xdr:col>
      <xdr:colOff>482600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453C4-5689-284D-8817-929239C2E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3FD0-EBEC-E54D-86C0-534B7C4FC1E6}">
  <dimension ref="A1:W37"/>
  <sheetViews>
    <sheetView tabSelected="1" zoomScaleNormal="90" workbookViewId="0">
      <selection activeCell="B41" sqref="B41"/>
    </sheetView>
  </sheetViews>
  <sheetFormatPr baseColWidth="10" defaultColWidth="8.83203125" defaultRowHeight="13" x14ac:dyDescent="0.15"/>
  <cols>
    <col min="1" max="1" width="21.1640625" customWidth="1"/>
    <col min="2" max="2" width="16.33203125" customWidth="1"/>
    <col min="4" max="4" width="25.5" customWidth="1"/>
    <col min="6" max="6" width="13.1640625" customWidth="1"/>
    <col min="7" max="7" width="19.1640625" customWidth="1"/>
  </cols>
  <sheetData>
    <row r="1" spans="1:23" x14ac:dyDescent="0.15">
      <c r="A1" s="20" t="s">
        <v>8</v>
      </c>
      <c r="B1" s="20"/>
      <c r="D1" s="20" t="s">
        <v>9</v>
      </c>
      <c r="E1" s="20"/>
      <c r="F1" s="20"/>
      <c r="G1" s="20"/>
    </row>
    <row r="2" spans="1:23" x14ac:dyDescent="0.15">
      <c r="A2" t="s">
        <v>13</v>
      </c>
      <c r="B2" t="s">
        <v>11</v>
      </c>
      <c r="D2" t="s">
        <v>12</v>
      </c>
      <c r="E2" t="s">
        <v>10</v>
      </c>
      <c r="F2" t="s">
        <v>13</v>
      </c>
      <c r="G2" t="s">
        <v>14</v>
      </c>
    </row>
    <row r="3" spans="1:23" x14ac:dyDescent="0.15">
      <c r="A3" s="17">
        <v>0</v>
      </c>
      <c r="B3">
        <f>(AVERAGE(L11:M11))</f>
        <v>1.5E-3</v>
      </c>
      <c r="D3">
        <v>1E-3</v>
      </c>
      <c r="E3">
        <f>AVERAGE(R6:T6,R9:T9)</f>
        <v>0.68433333333333335</v>
      </c>
      <c r="F3">
        <f>(E3-0.0656)/0.0021</f>
        <v>294.63492063492066</v>
      </c>
      <c r="G3">
        <f>F3*10</f>
        <v>2946.3492063492067</v>
      </c>
      <c r="K3" s="1"/>
      <c r="L3" s="2">
        <v>1</v>
      </c>
      <c r="M3" s="2">
        <v>2</v>
      </c>
      <c r="N3" s="2">
        <v>3</v>
      </c>
      <c r="O3" s="2">
        <v>4</v>
      </c>
      <c r="P3" s="2">
        <v>5</v>
      </c>
      <c r="Q3" s="2">
        <v>6</v>
      </c>
      <c r="R3" s="2">
        <v>7</v>
      </c>
      <c r="S3" s="2">
        <v>8</v>
      </c>
      <c r="T3" s="2">
        <v>9</v>
      </c>
      <c r="U3" s="2">
        <v>10</v>
      </c>
      <c r="V3" s="2">
        <v>11</v>
      </c>
      <c r="W3" s="2">
        <v>12</v>
      </c>
    </row>
    <row r="4" spans="1:23" ht="14" x14ac:dyDescent="0.15">
      <c r="A4" s="17">
        <v>31.3</v>
      </c>
      <c r="B4">
        <f>(AVERAGE(L10:M10))</f>
        <v>0.11899999999999999</v>
      </c>
      <c r="D4">
        <v>0.01</v>
      </c>
      <c r="E4">
        <f>AVERAGE(O6:Q6,O9:Q9)</f>
        <v>0.82500000000000007</v>
      </c>
      <c r="F4">
        <f>(E4-0.0656)/0.0021</f>
        <v>361.61904761904765</v>
      </c>
      <c r="G4">
        <f>F4*10</f>
        <v>3616.1904761904766</v>
      </c>
      <c r="K4" s="2" t="s">
        <v>0</v>
      </c>
      <c r="L4" s="3">
        <v>3.931</v>
      </c>
      <c r="M4" s="3">
        <v>3.8639999999999999</v>
      </c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14" x14ac:dyDescent="0.15">
      <c r="A5" s="17">
        <v>62.2</v>
      </c>
      <c r="B5">
        <f>(AVERAGE(L9:M9))</f>
        <v>0.191</v>
      </c>
      <c r="D5">
        <v>0.05</v>
      </c>
      <c r="E5">
        <f>AVERAGE(V5:W5,N6,V8:W8,N9)</f>
        <v>0.94166666666666676</v>
      </c>
      <c r="F5">
        <f t="shared" ref="F5:F11" si="0">(E5-0.0656)/0.0021</f>
        <v>417.17460317460325</v>
      </c>
      <c r="G5">
        <f t="shared" ref="G5:G11" si="1">F5*10</f>
        <v>4171.7460317460327</v>
      </c>
      <c r="K5" s="2" t="s">
        <v>1</v>
      </c>
      <c r="L5" s="9">
        <v>2.0550000000000002</v>
      </c>
      <c r="M5" s="11">
        <v>2.1920000000000002</v>
      </c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4" x14ac:dyDescent="0.15">
      <c r="A6" s="18">
        <v>125</v>
      </c>
      <c r="B6">
        <f>(AVERAGE(L8:M8))</f>
        <v>0.31850000000000001</v>
      </c>
      <c r="D6">
        <v>0.1</v>
      </c>
      <c r="E6">
        <f>AVERAGE(S5:U5,S8:U8)</f>
        <v>1.0276666666666667</v>
      </c>
      <c r="F6">
        <f t="shared" si="0"/>
        <v>458.12698412698421</v>
      </c>
      <c r="G6">
        <f t="shared" si="1"/>
        <v>4581.2698412698419</v>
      </c>
      <c r="K6" s="2" t="s">
        <v>2</v>
      </c>
      <c r="L6" s="10">
        <v>1.1479999999999999</v>
      </c>
      <c r="M6" s="6">
        <v>1.173</v>
      </c>
      <c r="N6" s="22"/>
      <c r="O6" s="22"/>
      <c r="P6" s="22"/>
      <c r="Q6" s="22"/>
      <c r="R6" s="22"/>
      <c r="S6" s="22"/>
      <c r="T6" s="22"/>
      <c r="U6" s="23"/>
      <c r="V6" s="22"/>
      <c r="W6" s="22"/>
    </row>
    <row r="7" spans="1:23" ht="14" x14ac:dyDescent="0.15">
      <c r="A7" s="18">
        <v>250</v>
      </c>
      <c r="B7">
        <f>(AVERAGE(L7:M7))</f>
        <v>0.57850000000000001</v>
      </c>
      <c r="D7">
        <v>0.25</v>
      </c>
      <c r="E7">
        <f>AVERAGE(P5:R5,P8:R8)</f>
        <v>1.4006666666666667</v>
      </c>
      <c r="F7">
        <f t="shared" si="0"/>
        <v>635.7460317460318</v>
      </c>
      <c r="G7">
        <f t="shared" si="1"/>
        <v>6357.460317460318</v>
      </c>
      <c r="K7" s="2" t="s">
        <v>3</v>
      </c>
      <c r="L7" s="13">
        <v>0.57299999999999995</v>
      </c>
      <c r="M7" s="13">
        <v>0.58399999999999996</v>
      </c>
      <c r="N7" s="5">
        <v>0.66100000000000003</v>
      </c>
      <c r="O7" s="14">
        <v>0.71199999999999997</v>
      </c>
      <c r="P7" s="14">
        <v>0.70499999999999996</v>
      </c>
      <c r="Q7" s="11">
        <v>2.5760000000000001</v>
      </c>
      <c r="R7" s="7">
        <v>2.4460000000000002</v>
      </c>
      <c r="S7" s="9">
        <v>2.4260000000000002</v>
      </c>
      <c r="T7" s="6">
        <v>2.1429999999999998</v>
      </c>
      <c r="U7" s="9">
        <v>2.028</v>
      </c>
      <c r="V7" s="9">
        <v>2.3660000000000001</v>
      </c>
      <c r="W7" s="10">
        <v>1.768</v>
      </c>
    </row>
    <row r="8" spans="1:23" ht="14" x14ac:dyDescent="0.15">
      <c r="A8" s="18">
        <v>500</v>
      </c>
      <c r="B8">
        <f>(AVERAGE(L6:M6))</f>
        <v>1.1604999999999999</v>
      </c>
      <c r="D8">
        <v>0.5</v>
      </c>
      <c r="E8">
        <f>AVERAGE(N5:O5,W4,W7,N8:O8)</f>
        <v>1.8643333333333334</v>
      </c>
      <c r="F8">
        <f t="shared" si="0"/>
        <v>856.53968253968253</v>
      </c>
      <c r="G8">
        <f t="shared" si="1"/>
        <v>8565.3968253968251</v>
      </c>
      <c r="K8" s="2" t="s">
        <v>4</v>
      </c>
      <c r="L8" s="5">
        <v>0.312</v>
      </c>
      <c r="M8" s="14">
        <v>0.32500000000000001</v>
      </c>
      <c r="N8" s="8">
        <v>1.8320000000000001</v>
      </c>
      <c r="O8" s="6">
        <v>1.9930000000000001</v>
      </c>
      <c r="P8" s="4">
        <v>1.383</v>
      </c>
      <c r="Q8" s="12">
        <v>1.361</v>
      </c>
      <c r="R8" s="10">
        <v>1.458</v>
      </c>
      <c r="S8" s="13">
        <v>0.98</v>
      </c>
      <c r="T8" s="13">
        <v>1.0129999999999999</v>
      </c>
      <c r="U8" s="13">
        <v>1.0900000000000001</v>
      </c>
      <c r="V8" s="13">
        <v>0.93</v>
      </c>
      <c r="W8" s="13">
        <v>0.91300000000000003</v>
      </c>
    </row>
    <row r="9" spans="1:23" ht="14" x14ac:dyDescent="0.15">
      <c r="A9" s="18">
        <v>1000</v>
      </c>
      <c r="B9">
        <f>(AVERAGE(L5:M5))</f>
        <v>2.1234999999999999</v>
      </c>
      <c r="D9">
        <v>0.75</v>
      </c>
      <c r="E9">
        <f>AVERAGE(T4:V4,T7:V7)</f>
        <v>2.1789999999999998</v>
      </c>
      <c r="F9">
        <f t="shared" si="0"/>
        <v>1006.3809523809524</v>
      </c>
      <c r="G9">
        <f t="shared" si="1"/>
        <v>10063.809523809525</v>
      </c>
      <c r="K9" s="2" t="s">
        <v>5</v>
      </c>
      <c r="L9" s="16">
        <v>0.189</v>
      </c>
      <c r="M9" s="16">
        <v>0.193</v>
      </c>
      <c r="N9" s="4">
        <v>0.98199999999999998</v>
      </c>
      <c r="O9" s="14">
        <v>0.82599999999999996</v>
      </c>
      <c r="P9" s="14">
        <v>0.85</v>
      </c>
      <c r="Q9" s="14">
        <v>0.79900000000000004</v>
      </c>
      <c r="R9" s="5">
        <v>0.69</v>
      </c>
      <c r="S9" s="5">
        <v>0.65300000000000002</v>
      </c>
      <c r="T9" s="14">
        <v>0.71</v>
      </c>
      <c r="U9" s="22"/>
      <c r="V9" s="22"/>
      <c r="W9" s="22"/>
    </row>
    <row r="10" spans="1:23" ht="14" x14ac:dyDescent="0.15">
      <c r="A10" s="18">
        <v>2000</v>
      </c>
      <c r="B10">
        <f>(AVERAGE(L4:M4))</f>
        <v>3.8975</v>
      </c>
      <c r="D10">
        <v>1</v>
      </c>
      <c r="E10">
        <f>AVERAGE(Q4:S4,Q7:S7)</f>
        <v>2.4826666666666668</v>
      </c>
      <c r="F10">
        <f t="shared" si="0"/>
        <v>1150.9841269841272</v>
      </c>
      <c r="G10">
        <f t="shared" si="1"/>
        <v>11509.841269841272</v>
      </c>
      <c r="K10" s="2" t="s">
        <v>6</v>
      </c>
      <c r="L10" s="15">
        <v>0.121</v>
      </c>
      <c r="M10" s="15">
        <v>0.11700000000000001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14" x14ac:dyDescent="0.15">
      <c r="D11" t="s">
        <v>15</v>
      </c>
      <c r="E11">
        <f>AVERAGE(N4:P4,N7:P7)</f>
        <v>0.69266666666666665</v>
      </c>
      <c r="F11">
        <f t="shared" si="0"/>
        <v>298.60317460317464</v>
      </c>
      <c r="G11">
        <f t="shared" si="1"/>
        <v>2986.0317460317465</v>
      </c>
      <c r="K11" s="2" t="s">
        <v>7</v>
      </c>
      <c r="L11" s="15">
        <v>2E-3</v>
      </c>
      <c r="M11" s="15">
        <v>1E-3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4" spans="1:23" x14ac:dyDescent="0.15">
      <c r="I14" s="25"/>
      <c r="J14" s="26"/>
      <c r="K14" s="26"/>
    </row>
    <row r="15" spans="1:23" x14ac:dyDescent="0.15">
      <c r="I15" s="25"/>
      <c r="J15" s="25"/>
      <c r="K15" s="25"/>
    </row>
    <row r="16" spans="1:23" x14ac:dyDescent="0.15">
      <c r="I16" s="25"/>
      <c r="J16" s="27"/>
      <c r="K16" s="25"/>
    </row>
    <row r="17" spans="1:11" x14ac:dyDescent="0.15">
      <c r="I17" s="25"/>
      <c r="J17" s="27"/>
      <c r="K17" s="25"/>
    </row>
    <row r="18" spans="1:11" x14ac:dyDescent="0.15">
      <c r="I18" s="25"/>
      <c r="J18" s="27"/>
      <c r="K18" s="25"/>
    </row>
    <row r="19" spans="1:11" x14ac:dyDescent="0.15">
      <c r="I19" s="25"/>
      <c r="J19" s="27"/>
      <c r="K19" s="25"/>
    </row>
    <row r="20" spans="1:11" x14ac:dyDescent="0.15">
      <c r="I20" s="25"/>
      <c r="J20" s="27"/>
      <c r="K20" s="25"/>
    </row>
    <row r="21" spans="1:11" x14ac:dyDescent="0.15">
      <c r="I21" s="25"/>
      <c r="J21" s="27"/>
      <c r="K21" s="25"/>
    </row>
    <row r="22" spans="1:11" x14ac:dyDescent="0.15">
      <c r="I22" s="25"/>
      <c r="J22" s="27"/>
      <c r="K22" s="25"/>
    </row>
    <row r="23" spans="1:11" x14ac:dyDescent="0.15">
      <c r="I23" s="25"/>
      <c r="J23" s="27"/>
      <c r="K23" s="25"/>
    </row>
    <row r="24" spans="1:11" x14ac:dyDescent="0.15">
      <c r="I24" s="25"/>
      <c r="J24" s="25"/>
      <c r="K24" s="25"/>
    </row>
    <row r="25" spans="1:11" x14ac:dyDescent="0.15">
      <c r="I25" s="25"/>
      <c r="J25" s="25"/>
      <c r="K25" s="25"/>
    </row>
    <row r="28" spans="1:11" s="19" customFormat="1" x14ac:dyDescent="0.15">
      <c r="A28" s="24" t="s">
        <v>18</v>
      </c>
      <c r="B28" s="21" t="s">
        <v>16</v>
      </c>
      <c r="C28" s="20"/>
      <c r="D28" s="20"/>
      <c r="E28" s="20" t="s">
        <v>13</v>
      </c>
      <c r="F28" s="20"/>
      <c r="G28" s="20"/>
      <c r="H28" s="20" t="s">
        <v>14</v>
      </c>
      <c r="I28" s="20"/>
      <c r="J28" s="20"/>
      <c r="K28" s="24" t="s">
        <v>17</v>
      </c>
    </row>
    <row r="29" spans="1:11" s="19" customFormat="1" x14ac:dyDescent="0.15">
      <c r="A29" s="19">
        <v>1E-3</v>
      </c>
      <c r="B29" s="24">
        <f>R9</f>
        <v>0.69</v>
      </c>
      <c r="C29" s="24">
        <f t="shared" ref="C29:D29" si="2">S9</f>
        <v>0.65300000000000002</v>
      </c>
      <c r="D29" s="24">
        <f t="shared" si="2"/>
        <v>0.71</v>
      </c>
      <c r="E29" s="24">
        <f t="shared" ref="E29:E37" si="3">(B29-0.0656)/0.0021</f>
        <v>297.33333333333331</v>
      </c>
      <c r="F29" s="24">
        <f t="shared" ref="F29:G33" si="4">(C29-0.0656)/0.0021</f>
        <v>279.71428571428572</v>
      </c>
      <c r="G29" s="24">
        <f t="shared" si="4"/>
        <v>306.85714285714289</v>
      </c>
      <c r="H29" s="19">
        <f t="shared" ref="H29:H37" si="5">E29*10</f>
        <v>2973.333333333333</v>
      </c>
      <c r="I29" s="19">
        <f t="shared" ref="I29:J33" si="6">F29*10</f>
        <v>2797.1428571428573</v>
      </c>
      <c r="J29" s="19">
        <f t="shared" si="6"/>
        <v>3068.5714285714289</v>
      </c>
      <c r="K29" s="19">
        <f>AVERAGE(H29:J29)</f>
        <v>2946.3492063492067</v>
      </c>
    </row>
    <row r="30" spans="1:11" s="19" customFormat="1" x14ac:dyDescent="0.15">
      <c r="A30" s="19">
        <v>0.01</v>
      </c>
      <c r="B30" s="19">
        <f>O9</f>
        <v>0.82599999999999996</v>
      </c>
      <c r="C30" s="19">
        <f t="shared" ref="C30:D30" si="7">P9</f>
        <v>0.85</v>
      </c>
      <c r="D30" s="19">
        <f t="shared" si="7"/>
        <v>0.79900000000000004</v>
      </c>
      <c r="E30" s="24">
        <f t="shared" si="3"/>
        <v>362.09523809523807</v>
      </c>
      <c r="F30" s="24">
        <f t="shared" si="4"/>
        <v>373.52380952380952</v>
      </c>
      <c r="G30" s="24">
        <f t="shared" si="4"/>
        <v>349.2380952380953</v>
      </c>
      <c r="H30" s="19">
        <f t="shared" si="5"/>
        <v>3620.9523809523807</v>
      </c>
      <c r="I30" s="19">
        <f t="shared" si="6"/>
        <v>3735.2380952380954</v>
      </c>
      <c r="J30" s="19">
        <f t="shared" si="6"/>
        <v>3492.3809523809532</v>
      </c>
      <c r="K30" s="19">
        <f>AVERAGE(H30:J30)</f>
        <v>3616.1904761904766</v>
      </c>
    </row>
    <row r="31" spans="1:11" s="19" customFormat="1" x14ac:dyDescent="0.15">
      <c r="A31" s="19">
        <v>0.05</v>
      </c>
      <c r="B31" s="19">
        <f>V8</f>
        <v>0.93</v>
      </c>
      <c r="C31" s="19">
        <f>W8</f>
        <v>0.91300000000000003</v>
      </c>
      <c r="D31" s="19">
        <f>N9</f>
        <v>0.98199999999999998</v>
      </c>
      <c r="E31" s="24">
        <f t="shared" si="3"/>
        <v>411.61904761904765</v>
      </c>
      <c r="F31" s="24">
        <f t="shared" si="4"/>
        <v>403.52380952380958</v>
      </c>
      <c r="G31" s="24">
        <f t="shared" si="4"/>
        <v>436.38095238095241</v>
      </c>
      <c r="H31" s="19">
        <f t="shared" si="5"/>
        <v>4116.1904761904761</v>
      </c>
      <c r="I31" s="19">
        <f t="shared" si="6"/>
        <v>4035.2380952380959</v>
      </c>
      <c r="J31" s="19">
        <f t="shared" si="6"/>
        <v>4363.8095238095239</v>
      </c>
      <c r="K31" s="19">
        <f>AVERAGE(H31:J31)</f>
        <v>4171.7460317460318</v>
      </c>
    </row>
    <row r="32" spans="1:11" s="19" customFormat="1" x14ac:dyDescent="0.15">
      <c r="A32" s="19">
        <v>0.1</v>
      </c>
      <c r="B32" s="19">
        <f>S8</f>
        <v>0.98</v>
      </c>
      <c r="C32" s="19">
        <f t="shared" ref="C32:D32" si="8">T8</f>
        <v>1.0129999999999999</v>
      </c>
      <c r="D32" s="19">
        <f t="shared" si="8"/>
        <v>1.0900000000000001</v>
      </c>
      <c r="E32" s="24">
        <f t="shared" si="3"/>
        <v>435.42857142857144</v>
      </c>
      <c r="F32" s="24">
        <f t="shared" si="4"/>
        <v>451.14285714285711</v>
      </c>
      <c r="G32" s="24">
        <f t="shared" si="4"/>
        <v>487.80952380952385</v>
      </c>
      <c r="H32" s="19">
        <f t="shared" si="5"/>
        <v>4354.2857142857147</v>
      </c>
      <c r="I32" s="19">
        <f t="shared" si="6"/>
        <v>4511.4285714285706</v>
      </c>
      <c r="J32" s="19">
        <f t="shared" si="6"/>
        <v>4878.0952380952385</v>
      </c>
      <c r="K32" s="19">
        <f>AVERAGE(H32:J32)</f>
        <v>4581.2698412698419</v>
      </c>
    </row>
    <row r="33" spans="1:11" s="19" customFormat="1" x14ac:dyDescent="0.15">
      <c r="A33" s="19">
        <v>0.25</v>
      </c>
      <c r="B33" s="19">
        <f>P8</f>
        <v>1.383</v>
      </c>
      <c r="C33" s="19">
        <f t="shared" ref="C33:D33" si="9">Q8</f>
        <v>1.361</v>
      </c>
      <c r="D33" s="19">
        <f t="shared" si="9"/>
        <v>1.458</v>
      </c>
      <c r="E33" s="24">
        <f t="shared" si="3"/>
        <v>627.33333333333337</v>
      </c>
      <c r="F33" s="24">
        <f t="shared" si="4"/>
        <v>616.85714285714289</v>
      </c>
      <c r="G33" s="24">
        <f t="shared" si="4"/>
        <v>663.04761904761904</v>
      </c>
      <c r="H33" s="19">
        <f t="shared" si="5"/>
        <v>6273.3333333333339</v>
      </c>
      <c r="I33" s="19">
        <f t="shared" si="6"/>
        <v>6168.5714285714294</v>
      </c>
      <c r="J33" s="19">
        <f t="shared" si="6"/>
        <v>6630.4761904761908</v>
      </c>
      <c r="K33" s="19">
        <f>AVERAGE(H33:J33)</f>
        <v>6357.460317460318</v>
      </c>
    </row>
    <row r="34" spans="1:11" s="19" customFormat="1" x14ac:dyDescent="0.15">
      <c r="A34" s="19">
        <v>0.5</v>
      </c>
      <c r="B34" s="19">
        <f>W7</f>
        <v>1.768</v>
      </c>
      <c r="C34" s="19">
        <f>N8</f>
        <v>1.8320000000000001</v>
      </c>
      <c r="D34" s="19">
        <f>O8</f>
        <v>1.9930000000000001</v>
      </c>
      <c r="E34" s="24">
        <f t="shared" si="3"/>
        <v>810.66666666666663</v>
      </c>
      <c r="F34" s="24">
        <f t="shared" ref="F34:F37" si="10">(C34-0.0656)/0.0021</f>
        <v>841.14285714285722</v>
      </c>
      <c r="G34" s="24">
        <f t="shared" ref="G34:G37" si="11">(D34-0.0656)/0.0021</f>
        <v>917.80952380952385</v>
      </c>
      <c r="H34" s="19">
        <f t="shared" si="5"/>
        <v>8106.6666666666661</v>
      </c>
      <c r="I34" s="19">
        <f t="shared" ref="I34:I37" si="12">F34*10</f>
        <v>8411.4285714285725</v>
      </c>
      <c r="J34" s="19">
        <f t="shared" ref="J34:J37" si="13">G34*10</f>
        <v>9178.0952380952385</v>
      </c>
      <c r="K34" s="19">
        <f>AVERAGE(H34:J34)</f>
        <v>8565.3968253968251</v>
      </c>
    </row>
    <row r="35" spans="1:11" s="19" customFormat="1" x14ac:dyDescent="0.15">
      <c r="A35" s="19">
        <v>0.75</v>
      </c>
      <c r="B35" s="19">
        <f>T7</f>
        <v>2.1429999999999998</v>
      </c>
      <c r="C35" s="19">
        <f t="shared" ref="C35:D35" si="14">U7</f>
        <v>2.028</v>
      </c>
      <c r="D35" s="19">
        <f t="shared" si="14"/>
        <v>2.3660000000000001</v>
      </c>
      <c r="E35" s="24">
        <f t="shared" si="3"/>
        <v>989.2380952380953</v>
      </c>
      <c r="F35" s="24">
        <f t="shared" si="10"/>
        <v>934.47619047619048</v>
      </c>
      <c r="G35" s="24">
        <f t="shared" si="11"/>
        <v>1095.4285714285716</v>
      </c>
      <c r="H35" s="19">
        <f t="shared" si="5"/>
        <v>9892.3809523809523</v>
      </c>
      <c r="I35" s="19">
        <f t="shared" si="12"/>
        <v>9344.7619047619046</v>
      </c>
      <c r="J35" s="19">
        <f t="shared" si="13"/>
        <v>10954.285714285716</v>
      </c>
      <c r="K35" s="19">
        <f>AVERAGE(H35:J35)</f>
        <v>10063.809523809525</v>
      </c>
    </row>
    <row r="36" spans="1:11" s="19" customFormat="1" x14ac:dyDescent="0.15">
      <c r="A36" s="19">
        <v>1</v>
      </c>
      <c r="B36" s="19">
        <f>Q7</f>
        <v>2.5760000000000001</v>
      </c>
      <c r="C36" s="19">
        <f t="shared" ref="C36:D36" si="15">R7</f>
        <v>2.4460000000000002</v>
      </c>
      <c r="D36" s="19">
        <f t="shared" si="15"/>
        <v>2.4260000000000002</v>
      </c>
      <c r="E36" s="24">
        <f t="shared" si="3"/>
        <v>1195.4285714285716</v>
      </c>
      <c r="F36" s="24">
        <f t="shared" si="10"/>
        <v>1133.5238095238096</v>
      </c>
      <c r="G36" s="24">
        <f t="shared" si="11"/>
        <v>1124.0000000000002</v>
      </c>
      <c r="H36" s="19">
        <f t="shared" si="5"/>
        <v>11954.285714285716</v>
      </c>
      <c r="I36" s="19">
        <f t="shared" si="12"/>
        <v>11335.238095238095</v>
      </c>
      <c r="J36" s="19">
        <f t="shared" si="13"/>
        <v>11240.000000000002</v>
      </c>
      <c r="K36" s="19">
        <f>AVERAGE(H36:J36)</f>
        <v>11509.84126984127</v>
      </c>
    </row>
    <row r="37" spans="1:11" s="19" customFormat="1" x14ac:dyDescent="0.15">
      <c r="A37" s="19" t="s">
        <v>15</v>
      </c>
      <c r="B37" s="19">
        <f>N7</f>
        <v>0.66100000000000003</v>
      </c>
      <c r="C37" s="19">
        <f t="shared" ref="C37:D37" si="16">O7</f>
        <v>0.71199999999999997</v>
      </c>
      <c r="D37" s="19">
        <f t="shared" si="16"/>
        <v>0.70499999999999996</v>
      </c>
      <c r="E37" s="24">
        <f t="shared" si="3"/>
        <v>283.52380952380958</v>
      </c>
      <c r="F37" s="24">
        <f t="shared" si="10"/>
        <v>307.8095238095238</v>
      </c>
      <c r="G37" s="24">
        <f t="shared" si="11"/>
        <v>304.47619047619048</v>
      </c>
      <c r="H37" s="19">
        <f t="shared" si="5"/>
        <v>2835.2380952380959</v>
      </c>
      <c r="I37" s="19">
        <f t="shared" si="12"/>
        <v>3078.0952380952381</v>
      </c>
      <c r="J37" s="19">
        <f t="shared" si="13"/>
        <v>3044.7619047619046</v>
      </c>
      <c r="K37" s="19">
        <f>AVERAGE(H37:J37)</f>
        <v>2986.031746031746</v>
      </c>
    </row>
  </sheetData>
  <mergeCells count="6">
    <mergeCell ref="A1:B1"/>
    <mergeCell ref="D1:G1"/>
    <mergeCell ref="J14:K14"/>
    <mergeCell ref="B28:D28"/>
    <mergeCell ref="E28:G28"/>
    <mergeCell ref="H28:J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TNFa conc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Agrawal</dc:creator>
  <cp:lastModifiedBy>Abbey Stokes</cp:lastModifiedBy>
  <dcterms:created xsi:type="dcterms:W3CDTF">2011-01-18T20:51:17Z</dcterms:created>
  <dcterms:modified xsi:type="dcterms:W3CDTF">2025-04-15T00:18:24Z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