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eybryan/Desktop/"/>
    </mc:Choice>
  </mc:AlternateContent>
  <xr:revisionPtr revIDLastSave="0" documentId="8_{B6A83C4D-F25D-0F4A-8A11-8C0DCD7F5A1B}" xr6:coauthVersionLast="47" xr6:coauthVersionMax="47" xr10:uidLastSave="{00000000-0000-0000-0000-000000000000}"/>
  <bookViews>
    <workbookView xWindow="780" yWindow="500" windowWidth="28020" windowHeight="17500" xr2:uid="{7D56467D-C47C-4529-8CBB-35AB5B14F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" i="1"/>
  <c r="H9" i="1" s="1"/>
  <c r="F19" i="1"/>
  <c r="F22" i="1"/>
  <c r="F21" i="1"/>
  <c r="F20" i="1"/>
  <c r="F6" i="1"/>
  <c r="F7" i="1"/>
  <c r="F8" i="1"/>
  <c r="F9" i="1"/>
  <c r="F10" i="1"/>
  <c r="F11" i="1"/>
  <c r="F12" i="1"/>
  <c r="F13" i="1"/>
  <c r="F14" i="1"/>
  <c r="F15" i="1"/>
  <c r="F16" i="1"/>
  <c r="F17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5" i="1"/>
  <c r="H22" i="1" l="1"/>
  <c r="H21" i="1"/>
  <c r="H25" i="1"/>
  <c r="H42" i="1"/>
  <c r="H24" i="1"/>
  <c r="H41" i="1"/>
  <c r="H16" i="1"/>
  <c r="H40" i="1"/>
  <c r="H15" i="1"/>
  <c r="H34" i="1"/>
  <c r="H14" i="1"/>
  <c r="H33" i="1"/>
  <c r="H32" i="1"/>
  <c r="H26" i="1"/>
  <c r="H39" i="1"/>
  <c r="H31" i="1"/>
  <c r="H23" i="1"/>
  <c r="H13" i="1"/>
  <c r="H8" i="1"/>
  <c r="H46" i="1"/>
  <c r="H38" i="1"/>
  <c r="H30" i="1"/>
  <c r="H12" i="1"/>
  <c r="H7" i="1"/>
  <c r="H45" i="1"/>
  <c r="H37" i="1"/>
  <c r="H29" i="1"/>
  <c r="H11" i="1"/>
  <c r="H44" i="1"/>
  <c r="H36" i="1"/>
  <c r="H28" i="1"/>
  <c r="H10" i="1"/>
  <c r="H43" i="1"/>
  <c r="H35" i="1"/>
  <c r="H27" i="1"/>
  <c r="H17" i="1"/>
</calcChain>
</file>

<file path=xl/sharedStrings.xml><?xml version="1.0" encoding="utf-8"?>
<sst xmlns="http://schemas.openxmlformats.org/spreadsheetml/2006/main" count="50" uniqueCount="48">
  <si>
    <t>LPS Dose Curve - Inflammatory Reporter Macrophages</t>
  </si>
  <si>
    <t>Sample</t>
  </si>
  <si>
    <t>Geo. Mean</t>
  </si>
  <si>
    <t>% Parent</t>
  </si>
  <si>
    <t>RAW 1</t>
  </si>
  <si>
    <t>RAW 2</t>
  </si>
  <si>
    <t>NT 1</t>
  </si>
  <si>
    <t>NT 2</t>
  </si>
  <si>
    <t>100-1</t>
  </si>
  <si>
    <t>100-2</t>
  </si>
  <si>
    <t>100-3</t>
  </si>
  <si>
    <t>10-1</t>
  </si>
  <si>
    <t>10-2</t>
  </si>
  <si>
    <t>10-3</t>
  </si>
  <si>
    <t>5-1</t>
  </si>
  <si>
    <t>5-2</t>
  </si>
  <si>
    <t>5-3</t>
  </si>
  <si>
    <t>1-1</t>
  </si>
  <si>
    <t>1-2</t>
  </si>
  <si>
    <t>1-3</t>
  </si>
  <si>
    <t>.75-1</t>
  </si>
  <si>
    <t>.75-2</t>
  </si>
  <si>
    <t>.75-3</t>
  </si>
  <si>
    <t>.5-1</t>
  </si>
  <si>
    <t>.5-2</t>
  </si>
  <si>
    <t>.5-3</t>
  </si>
  <si>
    <t>.25-1</t>
  </si>
  <si>
    <t>.25-2</t>
  </si>
  <si>
    <t>.25-3</t>
  </si>
  <si>
    <t>0.1-1</t>
  </si>
  <si>
    <t>0.1-2</t>
  </si>
  <si>
    <t>0.1-3</t>
  </si>
  <si>
    <t>.05-1</t>
  </si>
  <si>
    <t>.05-2</t>
  </si>
  <si>
    <t>.05-3</t>
  </si>
  <si>
    <t>.01-1</t>
  </si>
  <si>
    <t>.01-2</t>
  </si>
  <si>
    <t>.01-3</t>
  </si>
  <si>
    <t>.001-1</t>
  </si>
  <si>
    <t>.001-2</t>
  </si>
  <si>
    <t>.001-3</t>
  </si>
  <si>
    <t>Normalized</t>
  </si>
  <si>
    <t>RAW_Day2_1</t>
  </si>
  <si>
    <t>NT_Day2_1</t>
  </si>
  <si>
    <t>NT_Day2_2</t>
  </si>
  <si>
    <t>NT_Day2_3</t>
  </si>
  <si>
    <t>Day 1 Measurements</t>
  </si>
  <si>
    <t>Day 2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</si>
</sst>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DD12-9497-4D18-A760-DEB0EE083A22}">
  <dimension ref="B2:I46"/>
  <sheetViews>
    <sheetView tabSelected="1" zoomScale="75" zoomScaleNormal="75" workbookViewId="0">
      <selection activeCell="H43" sqref="H43"/>
    </sheetView>
  </sheetViews>
  <sheetFormatPr baseColWidth="10" defaultColWidth="8.83203125" defaultRowHeight="15" x14ac:dyDescent="0.2"/>
  <cols>
    <col min="1" max="1" width="1.6640625" customWidth="1"/>
    <col min="2" max="3" width="20.5" customWidth="1"/>
    <col min="4" max="4" width="10.1640625" bestFit="1" customWidth="1"/>
    <col min="5" max="5" width="8.5" bestFit="1" customWidth="1"/>
    <col min="8" max="8" width="10.33203125" customWidth="1"/>
  </cols>
  <sheetData>
    <row r="2" spans="2:9" x14ac:dyDescent="0.2">
      <c r="C2" t="s">
        <v>0</v>
      </c>
      <c r="H2">
        <f>AVERAGE(D6,D19)</f>
        <v>110.3</v>
      </c>
    </row>
    <row r="3" spans="2:9" x14ac:dyDescent="0.2">
      <c r="H3" t="s">
        <v>41</v>
      </c>
    </row>
    <row r="4" spans="2:9" x14ac:dyDescent="0.2">
      <c r="C4" t="s">
        <v>1</v>
      </c>
      <c r="D4" t="s">
        <v>2</v>
      </c>
      <c r="E4" t="s">
        <v>3</v>
      </c>
      <c r="H4" t="s">
        <v>2</v>
      </c>
      <c r="I4" t="s">
        <v>3</v>
      </c>
    </row>
    <row r="5" spans="2:9" x14ac:dyDescent="0.2">
      <c r="B5" s="3" t="s">
        <v>46</v>
      </c>
      <c r="C5" t="s">
        <v>4</v>
      </c>
      <c r="D5">
        <v>344</v>
      </c>
      <c r="E5">
        <v>0.37</v>
      </c>
      <c r="F5">
        <f>E5/100</f>
        <v>3.7000000000000002E-3</v>
      </c>
    </row>
    <row r="6" spans="2:9" x14ac:dyDescent="0.2">
      <c r="B6" s="3"/>
      <c r="C6" t="s">
        <v>5</v>
      </c>
      <c r="D6">
        <v>89.6</v>
      </c>
      <c r="E6">
        <v>0</v>
      </c>
      <c r="F6">
        <f t="shared" ref="F6:F46" si="0">E6/100</f>
        <v>0</v>
      </c>
    </row>
    <row r="7" spans="2:9" x14ac:dyDescent="0.2">
      <c r="B7" s="3"/>
      <c r="C7" t="s">
        <v>6</v>
      </c>
      <c r="D7">
        <v>439</v>
      </c>
      <c r="E7">
        <v>7.47</v>
      </c>
      <c r="F7">
        <f t="shared" si="0"/>
        <v>7.4700000000000003E-2</v>
      </c>
      <c r="H7">
        <f t="shared" ref="H7:H17" si="1">D7-$H$2</f>
        <v>328.7</v>
      </c>
    </row>
    <row r="8" spans="2:9" x14ac:dyDescent="0.2">
      <c r="B8" s="3"/>
      <c r="C8" t="s">
        <v>7</v>
      </c>
      <c r="D8">
        <v>444</v>
      </c>
      <c r="E8">
        <v>7.75</v>
      </c>
      <c r="F8">
        <f t="shared" si="0"/>
        <v>7.7499999999999999E-2</v>
      </c>
      <c r="H8">
        <f t="shared" si="1"/>
        <v>333.7</v>
      </c>
    </row>
    <row r="9" spans="2:9" x14ac:dyDescent="0.2">
      <c r="B9" s="3"/>
      <c r="C9" t="s">
        <v>8</v>
      </c>
      <c r="D9">
        <v>1059</v>
      </c>
      <c r="E9">
        <v>43.4</v>
      </c>
      <c r="F9">
        <f t="shared" si="0"/>
        <v>0.434</v>
      </c>
      <c r="H9">
        <f t="shared" si="1"/>
        <v>948.7</v>
      </c>
    </row>
    <row r="10" spans="2:9" x14ac:dyDescent="0.2">
      <c r="B10" s="3"/>
      <c r="C10" t="s">
        <v>9</v>
      </c>
      <c r="D10">
        <v>1107</v>
      </c>
      <c r="E10">
        <v>44.5</v>
      </c>
      <c r="F10">
        <f t="shared" si="0"/>
        <v>0.44500000000000001</v>
      </c>
      <c r="H10">
        <f t="shared" si="1"/>
        <v>996.7</v>
      </c>
    </row>
    <row r="11" spans="2:9" x14ac:dyDescent="0.2">
      <c r="B11" s="3"/>
      <c r="C11" t="s">
        <v>10</v>
      </c>
      <c r="D11">
        <v>1080</v>
      </c>
      <c r="E11">
        <v>43.2</v>
      </c>
      <c r="F11">
        <f t="shared" si="0"/>
        <v>0.43200000000000005</v>
      </c>
      <c r="H11">
        <f t="shared" si="1"/>
        <v>969.7</v>
      </c>
    </row>
    <row r="12" spans="2:9" x14ac:dyDescent="0.2">
      <c r="B12" s="3"/>
      <c r="C12" s="1" t="s">
        <v>11</v>
      </c>
      <c r="D12">
        <v>959</v>
      </c>
      <c r="E12">
        <v>38.6</v>
      </c>
      <c r="F12">
        <f t="shared" si="0"/>
        <v>0.38600000000000001</v>
      </c>
      <c r="H12">
        <f t="shared" si="1"/>
        <v>848.7</v>
      </c>
    </row>
    <row r="13" spans="2:9" x14ac:dyDescent="0.2">
      <c r="B13" s="3"/>
      <c r="C13" s="2" t="s">
        <v>12</v>
      </c>
      <c r="D13">
        <v>995</v>
      </c>
      <c r="E13">
        <v>39.799999999999997</v>
      </c>
      <c r="F13">
        <f t="shared" si="0"/>
        <v>0.39799999999999996</v>
      </c>
      <c r="H13">
        <f t="shared" si="1"/>
        <v>884.7</v>
      </c>
    </row>
    <row r="14" spans="2:9" x14ac:dyDescent="0.2">
      <c r="B14" s="3"/>
      <c r="C14" s="2" t="s">
        <v>13</v>
      </c>
      <c r="D14">
        <v>971</v>
      </c>
      <c r="E14">
        <v>38.700000000000003</v>
      </c>
      <c r="F14">
        <f t="shared" si="0"/>
        <v>0.38700000000000001</v>
      </c>
      <c r="H14">
        <f t="shared" si="1"/>
        <v>860.7</v>
      </c>
    </row>
    <row r="15" spans="2:9" x14ac:dyDescent="0.2">
      <c r="B15" s="3"/>
      <c r="C15" s="2" t="s">
        <v>14</v>
      </c>
      <c r="D15">
        <v>987</v>
      </c>
      <c r="E15">
        <v>39.5</v>
      </c>
      <c r="F15">
        <f t="shared" si="0"/>
        <v>0.39500000000000002</v>
      </c>
      <c r="H15">
        <f t="shared" si="1"/>
        <v>876.7</v>
      </c>
    </row>
    <row r="16" spans="2:9" x14ac:dyDescent="0.2">
      <c r="B16" s="3"/>
      <c r="C16" s="2" t="s">
        <v>15</v>
      </c>
      <c r="D16">
        <v>998</v>
      </c>
      <c r="E16">
        <v>40.299999999999997</v>
      </c>
      <c r="F16">
        <f t="shared" si="0"/>
        <v>0.40299999999999997</v>
      </c>
      <c r="H16">
        <f t="shared" si="1"/>
        <v>887.7</v>
      </c>
    </row>
    <row r="17" spans="2:8" x14ac:dyDescent="0.2">
      <c r="B17" s="3"/>
      <c r="C17" s="2" t="s">
        <v>16</v>
      </c>
      <c r="D17">
        <v>1009</v>
      </c>
      <c r="E17">
        <v>41.1</v>
      </c>
      <c r="F17">
        <f t="shared" si="0"/>
        <v>0.41100000000000003</v>
      </c>
      <c r="H17">
        <f t="shared" si="1"/>
        <v>898.7</v>
      </c>
    </row>
    <row r="18" spans="2:8" x14ac:dyDescent="0.2">
      <c r="C18" s="2"/>
    </row>
    <row r="19" spans="2:8" x14ac:dyDescent="0.2">
      <c r="B19" s="3" t="s">
        <v>47</v>
      </c>
      <c r="C19" t="s">
        <v>42</v>
      </c>
      <c r="D19">
        <v>131</v>
      </c>
      <c r="E19">
        <v>0</v>
      </c>
      <c r="F19">
        <f t="shared" ref="F19" si="2">E19/100</f>
        <v>0</v>
      </c>
    </row>
    <row r="20" spans="2:8" x14ac:dyDescent="0.2">
      <c r="B20" s="3"/>
      <c r="C20" t="s">
        <v>43</v>
      </c>
      <c r="D20">
        <v>497</v>
      </c>
      <c r="E20">
        <v>5.18</v>
      </c>
      <c r="F20">
        <f t="shared" ref="F20:F22" si="3">E20/100</f>
        <v>5.1799999999999999E-2</v>
      </c>
      <c r="H20">
        <f t="shared" ref="H20:H46" si="4">D20-$H$2</f>
        <v>386.7</v>
      </c>
    </row>
    <row r="21" spans="2:8" x14ac:dyDescent="0.2">
      <c r="B21" s="3"/>
      <c r="C21" t="s">
        <v>44</v>
      </c>
      <c r="D21">
        <v>501</v>
      </c>
      <c r="E21">
        <v>4.67</v>
      </c>
      <c r="F21">
        <f t="shared" si="3"/>
        <v>4.6699999999999998E-2</v>
      </c>
      <c r="H21">
        <f t="shared" si="4"/>
        <v>390.7</v>
      </c>
    </row>
    <row r="22" spans="2:8" x14ac:dyDescent="0.2">
      <c r="B22" s="3"/>
      <c r="C22" t="s">
        <v>45</v>
      </c>
      <c r="D22">
        <v>511</v>
      </c>
      <c r="E22">
        <v>5.75</v>
      </c>
      <c r="F22">
        <f t="shared" si="3"/>
        <v>5.7500000000000002E-2</v>
      </c>
      <c r="H22">
        <f t="shared" si="4"/>
        <v>400.7</v>
      </c>
    </row>
    <row r="23" spans="2:8" x14ac:dyDescent="0.2">
      <c r="B23" s="3"/>
      <c r="C23" s="2" t="s">
        <v>17</v>
      </c>
      <c r="D23">
        <v>795</v>
      </c>
      <c r="E23">
        <v>17.100000000000001</v>
      </c>
      <c r="F23">
        <f t="shared" si="0"/>
        <v>0.17100000000000001</v>
      </c>
      <c r="H23">
        <f t="shared" si="4"/>
        <v>684.7</v>
      </c>
    </row>
    <row r="24" spans="2:8" x14ac:dyDescent="0.2">
      <c r="B24" s="3"/>
      <c r="C24" s="2" t="s">
        <v>18</v>
      </c>
      <c r="D24">
        <v>801</v>
      </c>
      <c r="E24">
        <v>16.899999999999999</v>
      </c>
      <c r="F24">
        <f t="shared" si="0"/>
        <v>0.16899999999999998</v>
      </c>
      <c r="H24">
        <f t="shared" si="4"/>
        <v>690.7</v>
      </c>
    </row>
    <row r="25" spans="2:8" x14ac:dyDescent="0.2">
      <c r="B25" s="3"/>
      <c r="C25" s="2" t="s">
        <v>19</v>
      </c>
      <c r="D25">
        <v>816</v>
      </c>
      <c r="E25">
        <v>18.600000000000001</v>
      </c>
      <c r="F25">
        <f t="shared" si="0"/>
        <v>0.18600000000000003</v>
      </c>
      <c r="H25">
        <f t="shared" si="4"/>
        <v>705.7</v>
      </c>
    </row>
    <row r="26" spans="2:8" x14ac:dyDescent="0.2">
      <c r="B26" s="3"/>
      <c r="C26" t="s">
        <v>20</v>
      </c>
      <c r="D26">
        <v>763</v>
      </c>
      <c r="E26">
        <v>15.2</v>
      </c>
      <c r="F26">
        <f t="shared" si="0"/>
        <v>0.152</v>
      </c>
      <c r="H26">
        <f t="shared" si="4"/>
        <v>652.70000000000005</v>
      </c>
    </row>
    <row r="27" spans="2:8" x14ac:dyDescent="0.2">
      <c r="B27" s="3"/>
      <c r="C27" t="s">
        <v>21</v>
      </c>
      <c r="D27">
        <v>794</v>
      </c>
      <c r="E27">
        <v>17</v>
      </c>
      <c r="F27">
        <f t="shared" si="0"/>
        <v>0.17</v>
      </c>
      <c r="H27">
        <f t="shared" si="4"/>
        <v>683.7</v>
      </c>
    </row>
    <row r="28" spans="2:8" x14ac:dyDescent="0.2">
      <c r="B28" s="3"/>
      <c r="C28" t="s">
        <v>22</v>
      </c>
      <c r="D28">
        <v>835</v>
      </c>
      <c r="E28">
        <v>19.5</v>
      </c>
      <c r="F28">
        <f t="shared" si="0"/>
        <v>0.19500000000000001</v>
      </c>
      <c r="H28">
        <f t="shared" si="4"/>
        <v>724.7</v>
      </c>
    </row>
    <row r="29" spans="2:8" x14ac:dyDescent="0.2">
      <c r="B29" s="3"/>
      <c r="C29" t="s">
        <v>23</v>
      </c>
      <c r="D29">
        <v>780</v>
      </c>
      <c r="E29">
        <v>16.7</v>
      </c>
      <c r="F29">
        <f t="shared" si="0"/>
        <v>0.16699999999999998</v>
      </c>
      <c r="H29">
        <f t="shared" si="4"/>
        <v>669.7</v>
      </c>
    </row>
    <row r="30" spans="2:8" x14ac:dyDescent="0.2">
      <c r="B30" s="3"/>
      <c r="C30" t="s">
        <v>24</v>
      </c>
      <c r="D30">
        <v>762</v>
      </c>
      <c r="E30">
        <v>15.5</v>
      </c>
      <c r="F30">
        <f t="shared" si="0"/>
        <v>0.155</v>
      </c>
      <c r="H30">
        <f t="shared" si="4"/>
        <v>651.70000000000005</v>
      </c>
    </row>
    <row r="31" spans="2:8" x14ac:dyDescent="0.2">
      <c r="B31" s="3"/>
      <c r="C31" t="s">
        <v>25</v>
      </c>
      <c r="D31">
        <v>729</v>
      </c>
      <c r="E31">
        <v>14.3</v>
      </c>
      <c r="F31">
        <f t="shared" si="0"/>
        <v>0.14300000000000002</v>
      </c>
      <c r="H31">
        <f t="shared" si="4"/>
        <v>618.70000000000005</v>
      </c>
    </row>
    <row r="32" spans="2:8" x14ac:dyDescent="0.2">
      <c r="B32" s="3"/>
      <c r="C32" t="s">
        <v>26</v>
      </c>
      <c r="D32">
        <v>650</v>
      </c>
      <c r="E32">
        <v>10.1</v>
      </c>
      <c r="F32">
        <f t="shared" si="0"/>
        <v>0.10099999999999999</v>
      </c>
      <c r="H32">
        <f t="shared" si="4"/>
        <v>539.70000000000005</v>
      </c>
    </row>
    <row r="33" spans="2:8" x14ac:dyDescent="0.2">
      <c r="B33" s="3"/>
      <c r="C33" t="s">
        <v>27</v>
      </c>
      <c r="D33">
        <v>672</v>
      </c>
      <c r="E33">
        <v>11.2</v>
      </c>
      <c r="F33">
        <f t="shared" si="0"/>
        <v>0.11199999999999999</v>
      </c>
      <c r="H33">
        <f t="shared" si="4"/>
        <v>561.70000000000005</v>
      </c>
    </row>
    <row r="34" spans="2:8" x14ac:dyDescent="0.2">
      <c r="B34" s="3"/>
      <c r="C34" t="s">
        <v>28</v>
      </c>
      <c r="D34">
        <v>701</v>
      </c>
      <c r="E34">
        <v>12.6</v>
      </c>
      <c r="F34">
        <f t="shared" si="0"/>
        <v>0.126</v>
      </c>
      <c r="H34">
        <f t="shared" si="4"/>
        <v>590.70000000000005</v>
      </c>
    </row>
    <row r="35" spans="2:8" x14ac:dyDescent="0.2">
      <c r="B35" s="3"/>
      <c r="C35" t="s">
        <v>29</v>
      </c>
      <c r="D35">
        <v>602</v>
      </c>
      <c r="E35">
        <v>8.89</v>
      </c>
      <c r="F35">
        <f t="shared" si="0"/>
        <v>8.8900000000000007E-2</v>
      </c>
      <c r="H35">
        <f t="shared" si="4"/>
        <v>491.7</v>
      </c>
    </row>
    <row r="36" spans="2:8" x14ac:dyDescent="0.2">
      <c r="B36" s="3"/>
      <c r="C36" t="s">
        <v>30</v>
      </c>
      <c r="D36">
        <v>580</v>
      </c>
      <c r="E36">
        <v>8.82</v>
      </c>
      <c r="F36">
        <f t="shared" si="0"/>
        <v>8.8200000000000001E-2</v>
      </c>
      <c r="H36">
        <f t="shared" si="4"/>
        <v>469.7</v>
      </c>
    </row>
    <row r="37" spans="2:8" x14ac:dyDescent="0.2">
      <c r="B37" s="3"/>
      <c r="C37" t="s">
        <v>31</v>
      </c>
      <c r="D37">
        <v>601</v>
      </c>
      <c r="E37">
        <v>8.25</v>
      </c>
      <c r="F37">
        <f t="shared" si="0"/>
        <v>8.2500000000000004E-2</v>
      </c>
      <c r="H37">
        <f t="shared" si="4"/>
        <v>490.7</v>
      </c>
    </row>
    <row r="38" spans="2:8" x14ac:dyDescent="0.2">
      <c r="B38" s="3"/>
      <c r="C38" t="s">
        <v>32</v>
      </c>
      <c r="D38">
        <v>689</v>
      </c>
      <c r="E38">
        <v>13.3</v>
      </c>
      <c r="F38">
        <f t="shared" si="0"/>
        <v>0.13300000000000001</v>
      </c>
      <c r="H38">
        <f t="shared" si="4"/>
        <v>578.70000000000005</v>
      </c>
    </row>
    <row r="39" spans="2:8" x14ac:dyDescent="0.2">
      <c r="B39" s="3"/>
      <c r="C39" t="s">
        <v>33</v>
      </c>
      <c r="D39">
        <v>696</v>
      </c>
      <c r="E39">
        <v>13</v>
      </c>
      <c r="F39">
        <f t="shared" si="0"/>
        <v>0.13</v>
      </c>
      <c r="H39">
        <f t="shared" si="4"/>
        <v>585.70000000000005</v>
      </c>
    </row>
    <row r="40" spans="2:8" x14ac:dyDescent="0.2">
      <c r="B40" s="3"/>
      <c r="C40" t="s">
        <v>34</v>
      </c>
      <c r="D40">
        <v>673</v>
      </c>
      <c r="E40">
        <v>11.7</v>
      </c>
      <c r="F40">
        <f t="shared" si="0"/>
        <v>0.11699999999999999</v>
      </c>
      <c r="H40">
        <f t="shared" si="4"/>
        <v>562.70000000000005</v>
      </c>
    </row>
    <row r="41" spans="2:8" x14ac:dyDescent="0.2">
      <c r="B41" s="3"/>
      <c r="C41" t="s">
        <v>35</v>
      </c>
      <c r="D41">
        <v>580</v>
      </c>
      <c r="E41">
        <v>9.16</v>
      </c>
      <c r="F41">
        <f t="shared" si="0"/>
        <v>9.1600000000000001E-2</v>
      </c>
      <c r="H41">
        <f t="shared" si="4"/>
        <v>469.7</v>
      </c>
    </row>
    <row r="42" spans="2:8" x14ac:dyDescent="0.2">
      <c r="B42" s="3"/>
      <c r="C42" t="s">
        <v>36</v>
      </c>
      <c r="D42">
        <v>563</v>
      </c>
      <c r="E42">
        <v>7.18</v>
      </c>
      <c r="F42">
        <f t="shared" si="0"/>
        <v>7.1800000000000003E-2</v>
      </c>
      <c r="H42">
        <f t="shared" si="4"/>
        <v>452.7</v>
      </c>
    </row>
    <row r="43" spans="2:8" x14ac:dyDescent="0.2">
      <c r="B43" s="3"/>
      <c r="C43" t="s">
        <v>37</v>
      </c>
      <c r="D43">
        <v>562</v>
      </c>
      <c r="E43">
        <v>7.15</v>
      </c>
      <c r="F43">
        <f t="shared" si="0"/>
        <v>7.1500000000000008E-2</v>
      </c>
      <c r="H43">
        <f t="shared" si="4"/>
        <v>451.7</v>
      </c>
    </row>
    <row r="44" spans="2:8" x14ac:dyDescent="0.2">
      <c r="B44" s="3"/>
      <c r="C44" t="s">
        <v>38</v>
      </c>
      <c r="D44">
        <v>522</v>
      </c>
      <c r="E44">
        <v>5.91</v>
      </c>
      <c r="F44">
        <f t="shared" si="0"/>
        <v>5.91E-2</v>
      </c>
      <c r="H44">
        <f t="shared" si="4"/>
        <v>411.7</v>
      </c>
    </row>
    <row r="45" spans="2:8" x14ac:dyDescent="0.2">
      <c r="B45" s="3"/>
      <c r="C45" t="s">
        <v>39</v>
      </c>
      <c r="D45">
        <v>555</v>
      </c>
      <c r="E45">
        <v>7.4</v>
      </c>
      <c r="F45">
        <f t="shared" si="0"/>
        <v>7.400000000000001E-2</v>
      </c>
      <c r="H45">
        <f t="shared" si="4"/>
        <v>444.7</v>
      </c>
    </row>
    <row r="46" spans="2:8" x14ac:dyDescent="0.2">
      <c r="B46" s="3"/>
      <c r="C46" t="s">
        <v>40</v>
      </c>
      <c r="D46">
        <v>547</v>
      </c>
      <c r="E46">
        <v>7.69</v>
      </c>
      <c r="F46">
        <f t="shared" si="0"/>
        <v>7.690000000000001E-2</v>
      </c>
      <c r="H46">
        <f t="shared" si="4"/>
        <v>436.7</v>
      </c>
    </row>
  </sheetData>
  <mergeCells count="2">
    <mergeCell ref="B5:B17"/>
    <mergeCell ref="B19:B4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Ivy</dc:creator>
  <cp:lastModifiedBy>Abbey Stokes</cp:lastModifiedBy>
  <dcterms:created xsi:type="dcterms:W3CDTF">2023-12-11T18:20:25Z</dcterms:created>
  <dcterms:modified xsi:type="dcterms:W3CDTF">2025-04-14T21:04:50Z</dcterms:modified>
</cp:coreProperties>
</file>